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5"/>
    <sheet state="visible" name="Weight Model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<sst xmlns="http://schemas.openxmlformats.org/spreadsheetml/2006/main" count="110" uniqueCount="70">
  <si>
    <t>Project Civic - Baseline Vehicle Data</t>
  </si>
  <si>
    <t>Spec</t>
  </si>
  <si>
    <t>Value</t>
  </si>
  <si>
    <t>Unit</t>
  </si>
  <si>
    <t>Source</t>
  </si>
  <si>
    <t>Stock curb weight</t>
  </si>
  <si>
    <t>lbs</t>
  </si>
  <si>
    <t>Honda-Tech / Factory spec</t>
  </si>
  <si>
    <t>Stock weight distribution - Front</t>
  </si>
  <si>
    <t>% (as decimal)</t>
  </si>
  <si>
    <t>Honda-Tech</t>
  </si>
  <si>
    <t>Stock weight distribution - Back</t>
  </si>
  <si>
    <t>Wheelbase</t>
  </si>
  <si>
    <t>in</t>
  </si>
  <si>
    <t>Honda Manual</t>
  </si>
  <si>
    <t>Track width - Front</t>
  </si>
  <si>
    <t>Track width - Rear</t>
  </si>
  <si>
    <t>Baseline front weight (calc)</t>
  </si>
  <si>
    <t>Baseline rear weight (calc)</t>
  </si>
  <si>
    <t>Hypothetical Weight &amp; Distribution Model</t>
  </si>
  <si>
    <t>Component</t>
  </si>
  <si>
    <t>Weight Change (lbs)</t>
  </si>
  <si>
    <t>Front Fraction (0-1)</t>
  </si>
  <si>
    <t>Category</t>
  </si>
  <si>
    <t>Notes / Source</t>
  </si>
  <si>
    <t>Front Seats (stock, both) removed</t>
  </si>
  <si>
    <t>Removal</t>
  </si>
  <si>
    <t>Mostly front mounted, estimate</t>
  </si>
  <si>
    <t>Rear seats removed</t>
  </si>
  <si>
    <t>Carpet, door panels, headliner, trim</t>
  </si>
  <si>
    <t>Estimate</t>
  </si>
  <si>
    <t>Sound deadening removel</t>
  </si>
  <si>
    <t>Spare tire, jack, tools</t>
  </si>
  <si>
    <t>Stock Spec</t>
  </si>
  <si>
    <t>A/C compressor, condenser, lines</t>
  </si>
  <si>
    <t>Mostly front mounted</t>
  </si>
  <si>
    <t>Stock exhaust swapped to lighter cat</t>
  </si>
  <si>
    <t>Modification</t>
  </si>
  <si>
    <t>Estimate - confirm with actual part chosen</t>
  </si>
  <si>
    <t>Stereo, speakers, wiring removed</t>
  </si>
  <si>
    <t>Battery relocated from front</t>
  </si>
  <si>
    <t>Relocation (out)</t>
  </si>
  <si>
    <t>Pairs below</t>
  </si>
  <si>
    <t>Battery relocated to rear</t>
  </si>
  <si>
    <t>Relocation (in)</t>
  </si>
  <si>
    <t>Net weight neutral, shift distribution back</t>
  </si>
  <si>
    <t>6-point roll cage installed</t>
  </si>
  <si>
    <t>Addition</t>
  </si>
  <si>
    <t>Racing seat installed</t>
  </si>
  <si>
    <t>Harness</t>
  </si>
  <si>
    <t>Fire supression system</t>
  </si>
  <si>
    <t>Lightweight wheels and tires</t>
  </si>
  <si>
    <t>Total Weight Change</t>
  </si>
  <si>
    <t>Projected Weight and Distribution Summary</t>
  </si>
  <si>
    <t>Baseline curb weight</t>
  </si>
  <si>
    <t>Baseline front weight</t>
  </si>
  <si>
    <t>Baseline rear weight</t>
  </si>
  <si>
    <t>Baseline front %</t>
  </si>
  <si>
    <t>%</t>
  </si>
  <si>
    <t>Baseline rear %</t>
  </si>
  <si>
    <t>Total weight change</t>
  </si>
  <si>
    <t>Front weight change</t>
  </si>
  <si>
    <t>Rear weight change</t>
  </si>
  <si>
    <t>Projected curb weight</t>
  </si>
  <si>
    <t>Projected front weight</t>
  </si>
  <si>
    <t>Projected rear weight</t>
  </si>
  <si>
    <t>Projected front %</t>
  </si>
  <si>
    <t>Projected rear %</t>
  </si>
  <si>
    <t>E Prepared minimum weight (rough)</t>
  </si>
  <si>
    <t>Margine vs. EP minimum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</si>
</sst>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rgb="FFFFFFFF"/>
      <name val="Arial"/>
    </font>
    <font>
      <sz val="11.0"/>
      <color theme="1"/>
      <name val="Arial"/>
    </font>
    <font>
      <i/>
      <sz val="11.0"/>
      <color rgb="FF666666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72F34"/>
        <bgColor rgb="FF172F3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19.38"/>
    <col customWidth="1" min="3" max="3" width="20.13"/>
    <col customWidth="1" min="4" max="4" width="24.38"/>
    <col customWidth="1" min="5" max="6" width="12.63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</row>
    <row r="4" ht="15.75" customHeight="1">
      <c r="A4" s="3" t="s">
        <v>5</v>
      </c>
      <c r="B4" s="4">
        <v>2359.0</v>
      </c>
      <c r="C4" s="3" t="s">
        <v>6</v>
      </c>
      <c r="D4" s="3" t="s">
        <v>7</v>
      </c>
    </row>
    <row r="5" ht="15.75" customHeight="1">
      <c r="A5" s="3" t="s">
        <v>8</v>
      </c>
      <c r="B5" s="3">
        <v>0.62</v>
      </c>
      <c r="C5" s="3" t="s">
        <v>9</v>
      </c>
      <c r="D5" s="3" t="s">
        <v>10</v>
      </c>
    </row>
    <row r="6" ht="15.75" customHeight="1">
      <c r="A6" s="3" t="s">
        <v>11</v>
      </c>
      <c r="B6" s="3">
        <v>0.38</v>
      </c>
      <c r="C6" s="3" t="s">
        <v>9</v>
      </c>
      <c r="D6" s="3" t="s">
        <v>10</v>
      </c>
    </row>
    <row r="7" ht="15.75" customHeight="1">
      <c r="A7" s="3" t="s">
        <v>12</v>
      </c>
      <c r="B7" s="3">
        <v>103.2</v>
      </c>
      <c r="C7" s="3" t="s">
        <v>13</v>
      </c>
      <c r="D7" s="3" t="s">
        <v>14</v>
      </c>
    </row>
    <row r="8" ht="15.75" customHeight="1">
      <c r="A8" s="3" t="s">
        <v>15</v>
      </c>
      <c r="B8" s="3">
        <v>58.1</v>
      </c>
      <c r="C8" s="3" t="s">
        <v>13</v>
      </c>
      <c r="D8" s="3" t="s">
        <v>14</v>
      </c>
    </row>
    <row r="9" ht="15.75" customHeight="1">
      <c r="A9" s="3" t="s">
        <v>16</v>
      </c>
      <c r="B9" s="3">
        <v>58.1</v>
      </c>
      <c r="C9" s="3" t="s">
        <v>13</v>
      </c>
      <c r="D9" s="3" t="s">
        <v>14</v>
      </c>
    </row>
    <row r="10" ht="15.75" customHeight="1"/>
    <row r="11" ht="15.75" customHeight="1">
      <c r="A11" s="3" t="s">
        <v>17</v>
      </c>
      <c r="B11" s="5">
        <f>B4*B5</f>
        <v>1462.58</v>
      </c>
      <c r="C11" s="3" t="s">
        <v>6</v>
      </c>
    </row>
    <row r="12" ht="15.75" customHeight="1">
      <c r="A12" s="3" t="s">
        <v>18</v>
      </c>
      <c r="B12" s="3">
        <f>B4*B6</f>
        <v>896.42</v>
      </c>
      <c r="C12" s="3" t="s">
        <v>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0"/>
    <col customWidth="1" min="2" max="2" width="26.0"/>
    <col customWidth="1" min="3" max="3" width="27.5"/>
    <col customWidth="1" min="4" max="4" width="30.38"/>
    <col customWidth="1" min="5" max="5" width="42.5"/>
    <col customWidth="1" min="6" max="6" width="12.63"/>
  </cols>
  <sheetData>
    <row r="1" ht="15.75" customHeight="1">
      <c r="A1" s="1" t="s">
        <v>19</v>
      </c>
    </row>
    <row r="2" ht="15.75" customHeight="1"/>
    <row r="3" ht="15.7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</row>
    <row r="4" ht="15.75" customHeight="1">
      <c r="A4" s="3" t="s">
        <v>25</v>
      </c>
      <c r="B4" s="4">
        <v>-40.0</v>
      </c>
      <c r="C4" s="3">
        <v>0.8</v>
      </c>
      <c r="D4" s="3" t="s">
        <v>26</v>
      </c>
      <c r="E4" s="6" t="s">
        <v>27</v>
      </c>
    </row>
    <row r="5" ht="15.75" customHeight="1">
      <c r="A5" s="3" t="s">
        <v>28</v>
      </c>
      <c r="B5" s="3">
        <v>-30.0</v>
      </c>
      <c r="C5" s="3">
        <v>0.2</v>
      </c>
      <c r="D5" s="3" t="s">
        <v>26</v>
      </c>
      <c r="E5" s="6" t="s">
        <v>27</v>
      </c>
    </row>
    <row r="6" ht="15.75" customHeight="1">
      <c r="A6" s="3" t="s">
        <v>29</v>
      </c>
      <c r="B6" s="3">
        <v>-50.0</v>
      </c>
      <c r="C6" s="3">
        <v>0.5</v>
      </c>
      <c r="D6" s="3" t="s">
        <v>26</v>
      </c>
      <c r="E6" s="6" t="s">
        <v>30</v>
      </c>
    </row>
    <row r="7" ht="15.75" customHeight="1">
      <c r="A7" s="3" t="s">
        <v>31</v>
      </c>
      <c r="B7" s="3">
        <v>-20.0</v>
      </c>
      <c r="C7" s="3">
        <v>0.5</v>
      </c>
      <c r="D7" s="3" t="s">
        <v>26</v>
      </c>
      <c r="E7" s="6" t="s">
        <v>30</v>
      </c>
    </row>
    <row r="8" ht="15.75" customHeight="1">
      <c r="A8" s="3" t="s">
        <v>32</v>
      </c>
      <c r="B8" s="3">
        <v>-25.0</v>
      </c>
      <c r="C8" s="3">
        <v>0.0</v>
      </c>
      <c r="D8" s="3" t="s">
        <v>26</v>
      </c>
      <c r="E8" s="6" t="s">
        <v>33</v>
      </c>
    </row>
    <row r="9" ht="15.75" customHeight="1">
      <c r="A9" s="3" t="s">
        <v>34</v>
      </c>
      <c r="B9" s="3">
        <v>-35.0</v>
      </c>
      <c r="C9" s="3">
        <v>0.7</v>
      </c>
      <c r="D9" s="3" t="s">
        <v>26</v>
      </c>
      <c r="E9" s="6" t="s">
        <v>35</v>
      </c>
    </row>
    <row r="10" ht="15.75" customHeight="1">
      <c r="A10" s="3" t="s">
        <v>36</v>
      </c>
      <c r="B10" s="3">
        <v>-15.0</v>
      </c>
      <c r="C10" s="3">
        <v>0.0</v>
      </c>
      <c r="D10" s="3" t="s">
        <v>37</v>
      </c>
      <c r="E10" s="6" t="s">
        <v>38</v>
      </c>
    </row>
    <row r="11" ht="15.75" customHeight="1">
      <c r="A11" s="3" t="s">
        <v>39</v>
      </c>
      <c r="B11" s="3">
        <v>-15.0</v>
      </c>
      <c r="C11" s="3">
        <v>0.5</v>
      </c>
      <c r="D11" s="3" t="s">
        <v>26</v>
      </c>
      <c r="E11" s="6" t="s">
        <v>30</v>
      </c>
    </row>
    <row r="12" ht="15.75" customHeight="1">
      <c r="A12" s="3" t="s">
        <v>40</v>
      </c>
      <c r="B12" s="3">
        <v>-25.0</v>
      </c>
      <c r="C12" s="3">
        <v>1.0</v>
      </c>
      <c r="D12" s="3" t="s">
        <v>41</v>
      </c>
      <c r="E12" s="6" t="s">
        <v>42</v>
      </c>
    </row>
    <row r="13" ht="15.75" customHeight="1">
      <c r="A13" s="3" t="s">
        <v>43</v>
      </c>
      <c r="B13" s="3">
        <v>25.0</v>
      </c>
      <c r="C13" s="3">
        <v>0.0</v>
      </c>
      <c r="D13" s="3" t="s">
        <v>44</v>
      </c>
      <c r="E13" s="6" t="s">
        <v>45</v>
      </c>
    </row>
    <row r="14" ht="15.75" customHeight="1">
      <c r="A14" s="3" t="s">
        <v>46</v>
      </c>
      <c r="B14" s="3">
        <v>80.0</v>
      </c>
      <c r="C14" s="3">
        <v>0.5</v>
      </c>
      <c r="D14" s="3" t="s">
        <v>47</v>
      </c>
      <c r="E14" s="6" t="s">
        <v>38</v>
      </c>
    </row>
    <row r="15" ht="15.75" customHeight="1">
      <c r="A15" s="3" t="s">
        <v>48</v>
      </c>
      <c r="B15" s="3">
        <v>25.0</v>
      </c>
      <c r="C15" s="3">
        <v>0.8</v>
      </c>
      <c r="D15" s="3" t="s">
        <v>47</v>
      </c>
      <c r="E15" s="6" t="s">
        <v>38</v>
      </c>
    </row>
    <row r="16" ht="15.75" customHeight="1">
      <c r="A16" s="3" t="s">
        <v>49</v>
      </c>
      <c r="B16" s="3">
        <v>5.0</v>
      </c>
      <c r="C16" s="3">
        <v>0.8</v>
      </c>
      <c r="D16" s="3" t="s">
        <v>47</v>
      </c>
      <c r="E16" s="6" t="s">
        <v>30</v>
      </c>
    </row>
    <row r="17" ht="15.75" customHeight="1">
      <c r="A17" s="3" t="s">
        <v>50</v>
      </c>
      <c r="B17" s="3">
        <v>10.0</v>
      </c>
      <c r="C17" s="3">
        <v>0.5</v>
      </c>
      <c r="D17" s="3" t="s">
        <v>47</v>
      </c>
      <c r="E17" s="6" t="s">
        <v>30</v>
      </c>
    </row>
    <row r="18" ht="15.75" customHeight="1">
      <c r="A18" s="3" t="s">
        <v>51</v>
      </c>
      <c r="B18" s="3">
        <v>-20.0</v>
      </c>
      <c r="C18" s="3">
        <v>0.5</v>
      </c>
      <c r="D18" s="3" t="s">
        <v>37</v>
      </c>
      <c r="E18" s="6" t="s">
        <v>38</v>
      </c>
    </row>
    <row r="19" ht="15.75" customHeight="1"/>
    <row r="20" ht="15.75" customHeight="1"/>
    <row r="21" ht="15.75" customHeight="1">
      <c r="A21" s="7" t="s">
        <v>52</v>
      </c>
      <c r="B21" s="4">
        <f>SUM(B4:B18)</f>
        <v>-130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38"/>
    <col customWidth="1" min="2" max="2" width="18.63"/>
    <col customWidth="1" min="3" max="3" width="14.0"/>
    <col customWidth="1" min="4" max="6" width="12.63"/>
  </cols>
  <sheetData>
    <row r="1" ht="15.75" customHeight="1">
      <c r="A1" s="1" t="s">
        <v>53</v>
      </c>
    </row>
    <row r="2" ht="15.75" customHeight="1"/>
    <row r="3" ht="15.75" customHeight="1">
      <c r="A3" s="3" t="s">
        <v>54</v>
      </c>
      <c r="B3" s="4">
        <f>Baseline!B4</f>
        <v>2359</v>
      </c>
      <c r="C3" s="3" t="s">
        <v>6</v>
      </c>
    </row>
    <row r="4" ht="15.75" customHeight="1">
      <c r="A4" s="3" t="s">
        <v>55</v>
      </c>
      <c r="B4" s="5">
        <f>Baseline!B11</f>
        <v>1462.58</v>
      </c>
      <c r="C4" s="3" t="s">
        <v>6</v>
      </c>
    </row>
    <row r="5" ht="15.75" customHeight="1">
      <c r="A5" s="3" t="s">
        <v>56</v>
      </c>
      <c r="B5" s="3">
        <f>Baseline!B12</f>
        <v>896.42</v>
      </c>
      <c r="C5" s="3" t="s">
        <v>6</v>
      </c>
    </row>
    <row r="6" ht="15.75" customHeight="1">
      <c r="A6" s="3" t="s">
        <v>57</v>
      </c>
      <c r="B6" s="3">
        <f>Baseline!B5*100</f>
        <v>62</v>
      </c>
      <c r="C6" s="3" t="s">
        <v>58</v>
      </c>
    </row>
    <row r="7" ht="15.75" customHeight="1">
      <c r="A7" s="3" t="s">
        <v>59</v>
      </c>
      <c r="B7" s="3">
        <f>Baseline!B6*100</f>
        <v>38</v>
      </c>
      <c r="C7" s="3" t="s">
        <v>58</v>
      </c>
    </row>
    <row r="8" ht="15.75" customHeight="1"/>
    <row r="9" ht="15.75" customHeight="1">
      <c r="A9" s="3" t="s">
        <v>60</v>
      </c>
      <c r="B9" s="4">
        <f>'Weight Model'!B21</f>
        <v>-130</v>
      </c>
      <c r="C9" s="3" t="s">
        <v>6</v>
      </c>
    </row>
    <row r="10" ht="15.75" customHeight="1">
      <c r="A10" s="3" t="s">
        <v>61</v>
      </c>
      <c r="B10" s="3">
        <f>SUMPRODUCT('Weight Model'!B4:B18,'Weight Model'!C4:C18)</f>
        <v>-71</v>
      </c>
      <c r="C10" s="3" t="s">
        <v>6</v>
      </c>
    </row>
    <row r="11" ht="15.75" customHeight="1">
      <c r="A11" s="3" t="s">
        <v>62</v>
      </c>
      <c r="B11" s="4">
        <f>B9-B10</f>
        <v>-59</v>
      </c>
      <c r="C11" s="3" t="s">
        <v>6</v>
      </c>
    </row>
    <row r="12" ht="15.75" customHeight="1"/>
    <row r="13" ht="15.75" customHeight="1">
      <c r="A13" s="3" t="s">
        <v>63</v>
      </c>
      <c r="B13" s="4">
        <f t="shared" ref="B13:B15" si="1">B3+B9</f>
        <v>2229</v>
      </c>
      <c r="C13" s="3" t="s">
        <v>6</v>
      </c>
    </row>
    <row r="14" ht="15.75" customHeight="1">
      <c r="A14" s="3" t="s">
        <v>64</v>
      </c>
      <c r="B14" s="5">
        <f t="shared" si="1"/>
        <v>1391.58</v>
      </c>
      <c r="C14" s="3" t="s">
        <v>6</v>
      </c>
    </row>
    <row r="15" ht="15.75" customHeight="1">
      <c r="A15" s="3" t="s">
        <v>65</v>
      </c>
      <c r="B15" s="4">
        <f t="shared" si="1"/>
        <v>837.42</v>
      </c>
      <c r="C15" s="3" t="s">
        <v>6</v>
      </c>
    </row>
    <row r="16" ht="15.75" customHeight="1">
      <c r="A16" s="3" t="s">
        <v>66</v>
      </c>
      <c r="B16" s="3">
        <f>B14/B13*100</f>
        <v>62.43068641</v>
      </c>
      <c r="C16" s="3" t="s">
        <v>58</v>
      </c>
    </row>
    <row r="17" ht="15.75" customHeight="1">
      <c r="A17" s="3" t="s">
        <v>67</v>
      </c>
      <c r="B17" s="3">
        <f>B15/B13*100</f>
        <v>37.56931359</v>
      </c>
      <c r="C17" s="3" t="s">
        <v>58</v>
      </c>
    </row>
    <row r="18" ht="15.75" customHeight="1"/>
    <row r="19" ht="15.75" customHeight="1">
      <c r="A19" s="8" t="s">
        <v>68</v>
      </c>
      <c r="B19" s="9">
        <v>1685.4</v>
      </c>
      <c r="C19" s="3" t="s">
        <v>6</v>
      </c>
    </row>
    <row r="20" ht="15.75" customHeight="1">
      <c r="A20" s="3" t="s">
        <v>69</v>
      </c>
      <c r="B20" s="4">
        <f>B13-B19</f>
        <v>543.6</v>
      </c>
      <c r="C20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